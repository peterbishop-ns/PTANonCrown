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PETER21\OneDrive - Province of Nova Scotia\Desktop\"/>
    </mc:Choice>
  </mc:AlternateContent>
  <xr:revisionPtr revIDLastSave="0" documentId="13_ncr:1_{5522665D-673E-406F-A718-8153BB014B2F}" xr6:coauthVersionLast="47" xr6:coauthVersionMax="47" xr10:uidLastSave="{00000000-0000-0000-0000-000000000000}"/>
  <bookViews>
    <workbookView xWindow="-108" yWindow="-108" windowWidth="23256" windowHeight="12456" xr2:uid="{0E66FE85-C601-440C-9FFB-424420C6C65C}"/>
  </bookViews>
  <sheets>
    <sheet name="Main Table" sheetId="1" r:id="rId1"/>
    <sheet name="Stand" sheetId="3" r:id="rId2"/>
    <sheet name="Plot" sheetId="4" r:id="rId3"/>
    <sheet name="Live" sheetId="5" r:id="rId4"/>
    <sheet name="Dead" sheetId="6" r:id="rId5"/>
    <sheet name="CWM" sheetId="7" r:id="rId6"/>
    <sheet name="Summary" sheetId="8" r:id="rId7"/>
    <sheet name="_helpTextLookup" sheetId="10"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5" i="1" l="1"/>
  <c r="E56" i="1"/>
  <c r="E57" i="1"/>
  <c r="E53" i="1"/>
  <c r="E54" i="1"/>
  <c r="E58" i="1"/>
  <c r="E59" i="1"/>
  <c r="E60" i="1"/>
  <c r="E48" i="1"/>
  <c r="E49" i="1"/>
  <c r="E50" i="1"/>
  <c r="E51" i="1"/>
  <c r="E5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2" i="1"/>
</calcChain>
</file>

<file path=xl/sharedStrings.xml><?xml version="1.0" encoding="utf-8"?>
<sst xmlns="http://schemas.openxmlformats.org/spreadsheetml/2006/main" count="308" uniqueCount="201">
  <si>
    <t>Tab</t>
  </si>
  <si>
    <t>Stand</t>
  </si>
  <si>
    <t>Select Stand</t>
  </si>
  <si>
    <t>Edit Stand Number</t>
  </si>
  <si>
    <t>Comment</t>
  </si>
  <si>
    <t>Cruise ID</t>
  </si>
  <si>
    <t>Planner ID</t>
  </si>
  <si>
    <t>Area (ha)</t>
  </si>
  <si>
    <t>Organization</t>
  </si>
  <si>
    <t>Location</t>
  </si>
  <si>
    <t>Text</t>
  </si>
  <si>
    <t>Select Plot</t>
  </si>
  <si>
    <t>Edit Plot Number</t>
  </si>
  <si>
    <t>Comments</t>
  </si>
  <si>
    <t>Easting</t>
  </si>
  <si>
    <t>Northing</t>
  </si>
  <si>
    <t>Plot History: Treated</t>
  </si>
  <si>
    <t>Plot History: Planted</t>
  </si>
  <si>
    <t>Ecosite Group</t>
  </si>
  <si>
    <t>Ecodistrict</t>
  </si>
  <si>
    <t>Exposure</t>
  </si>
  <si>
    <t>Soil</t>
  </si>
  <si>
    <t>Vegetation</t>
  </si>
  <si>
    <t>Regen: Softwood LIT Regen Height (2 - 6m)</t>
  </si>
  <si>
    <t>Regen: Hardwood LIT Regen Height (2 - 6m)</t>
  </si>
  <si>
    <t xml:space="preserve">Regen: Beech Regneration Stocking &gt;25% </t>
  </si>
  <si>
    <t>Blowdown</t>
  </si>
  <si>
    <t>One Cohort Senescent</t>
  </si>
  <si>
    <t>Understory Strata (%)</t>
  </si>
  <si>
    <t xml:space="preserve">Uneven Aged </t>
  </si>
  <si>
    <t>LIT Seed Tree Stocking  (%)</t>
  </si>
  <si>
    <t>Blowdown  (%)</t>
  </si>
  <si>
    <t>Regen Stocking: All Commercial Species  (%)</t>
  </si>
  <si>
    <t>Regen Stocking: LIT Species  (%)</t>
  </si>
  <si>
    <t>Understory Dominated By (Trees/Woody Shrubs)</t>
  </si>
  <si>
    <t>Age Tree</t>
  </si>
  <si>
    <t>Age Tree: Species</t>
  </si>
  <si>
    <t>Age Tree: Age</t>
  </si>
  <si>
    <t>Age Tree: DBH (cm)</t>
  </si>
  <si>
    <t>Plot</t>
  </si>
  <si>
    <t>Living Trees</t>
  </si>
  <si>
    <t>Include Biodiversity</t>
  </si>
  <si>
    <t>Tree #</t>
  </si>
  <si>
    <t>Species</t>
  </si>
  <si>
    <t>AGS</t>
  </si>
  <si>
    <t>LIT</t>
  </si>
  <si>
    <t>LT</t>
  </si>
  <si>
    <t>Cavity</t>
  </si>
  <si>
    <t>Diversity</t>
  </si>
  <si>
    <t>Mast</t>
  </si>
  <si>
    <t>Number of Trees In Plot</t>
  </si>
  <si>
    <t>Deadwood</t>
  </si>
  <si>
    <t>Deadwood Tally</t>
  </si>
  <si>
    <t>DBH (cm)</t>
  </si>
  <si>
    <t>Species Group</t>
  </si>
  <si>
    <t>CoarseWoody</t>
  </si>
  <si>
    <t>Transect Length (m)</t>
  </si>
  <si>
    <t>Transect Direction</t>
  </si>
  <si>
    <t>Coarse Woody Material (CWM) Tally</t>
  </si>
  <si>
    <t>StandNumber</t>
  </si>
  <si>
    <t>Parameter</t>
  </si>
  <si>
    <t>StandComment</t>
  </si>
  <si>
    <t>CruiseID</t>
  </si>
  <si>
    <t>PlannerID</t>
  </si>
  <si>
    <t>StandArea</t>
  </si>
  <si>
    <t>PlotNumber</t>
  </si>
  <si>
    <t>PlotComments</t>
  </si>
  <si>
    <t>PlotEasting</t>
  </si>
  <si>
    <t>PlotNorthing</t>
  </si>
  <si>
    <t>TreatedGeneral</t>
  </si>
  <si>
    <t>PlantedGeneral</t>
  </si>
  <si>
    <t>EcositeGroup</t>
  </si>
  <si>
    <t>FECSoil</t>
  </si>
  <si>
    <t>FECVeg</t>
  </si>
  <si>
    <t>SWLITRegen</t>
  </si>
  <si>
    <t>HWLITRegen</t>
  </si>
  <si>
    <t>StockingBeechRegeneration</t>
  </si>
  <si>
    <t>StockingRegenCommercialSpecies</t>
  </si>
  <si>
    <t>StockingRegenLITSpecies</t>
  </si>
  <si>
    <t>StockingLITSeedTree</t>
  </si>
  <si>
    <t>OneCohortSenescent</t>
  </si>
  <si>
    <t>UnevenAged</t>
  </si>
  <si>
    <t>UnderstoryStrata</t>
  </si>
  <si>
    <t>UnderStoryDominatedBy</t>
  </si>
  <si>
    <t>AgeGeneral</t>
  </si>
  <si>
    <t>AgeTreeSpecies</t>
  </si>
  <si>
    <t>AgeTreeAge</t>
  </si>
  <si>
    <t>TRY</t>
  </si>
  <si>
    <t>AgeTreeDBH</t>
  </si>
  <si>
    <t>Coarse Woody Material pieces that contain cavities.</t>
  </si>
  <si>
    <t>CWMCavity</t>
  </si>
  <si>
    <t>CWMDBH</t>
  </si>
  <si>
    <t>CWMGeneral</t>
  </si>
  <si>
    <t>DBH</t>
  </si>
  <si>
    <t>DeadwoodGeneral</t>
  </si>
  <si>
    <t>Height</t>
  </si>
  <si>
    <t>HorizontalStructure</t>
  </si>
  <si>
    <t>IncludeBiodiversity</t>
  </si>
  <si>
    <t>LivingCavity</t>
  </si>
  <si>
    <t>OGFSampleTreeDBH_cm</t>
  </si>
  <si>
    <t>OGFSampleTreeSpecies</t>
  </si>
  <si>
    <t>PredictedHeight</t>
  </si>
  <si>
    <t>SnagCavity</t>
  </si>
  <si>
    <t>SnagDBH</t>
  </si>
  <si>
    <t>SnagSpecisGroup</t>
  </si>
  <si>
    <t>TreeNumber</t>
  </si>
  <si>
    <t>NumberOfTreesInPlot</t>
  </si>
  <si>
    <t>LivingTreeSpecies</t>
  </si>
  <si>
    <t>LivingTreeNumber</t>
  </si>
  <si>
    <t>LivingTreeLIT</t>
  </si>
  <si>
    <t>LivingTreeDBH</t>
  </si>
  <si>
    <t>LivingTreeAGS</t>
  </si>
  <si>
    <t>LivingTreeLT</t>
  </si>
  <si>
    <t>LivingTreeCavity</t>
  </si>
  <si>
    <t>LivingTreeDiversity</t>
  </si>
  <si>
    <t>LivingTreeMast</t>
  </si>
  <si>
    <t>CWMSpecisGroup</t>
  </si>
  <si>
    <t>CWMSpeciesGroup</t>
  </si>
  <si>
    <t>Stand Summary</t>
  </si>
  <si>
    <t>Plot Summary</t>
  </si>
  <si>
    <t>SummaryStand</t>
  </si>
  <si>
    <t>SummaryPlot</t>
  </si>
  <si>
    <t xml:space="preserve"> Understory dominated by trees or woody shrubs.</t>
  </si>
  <si>
    <t xml:space="preserve"> The breast height age of the sampled tree.</t>
  </si>
  <si>
    <t xml:space="preserve"> Diameter at 1.3 m of the tree selected for aging.</t>
  </si>
  <si>
    <t xml:space="preserve"> Species of the tree selected for aging.</t>
  </si>
  <si>
    <t xml:space="preserve"> Direction of the transect used to measure coarse woody material.</t>
  </si>
  <si>
    <t xml:space="preserve"> Length of the transect used to measure coarse woody material.</t>
  </si>
  <si>
    <t xml:space="preserve"> Coarse Woody Material pieces that contain cavities.</t>
  </si>
  <si>
    <t xml:space="preserve"> Coarse woody material (CWM) that is measured in a straight transect. A dead tree is considered to be Coarse Woody Material. If it is at less than 45 degrees. Dead trees that are standing at greater than 45 degrees are considered snags.</t>
  </si>
  <si>
    <t xml:space="preserve"> Easting coordinate.</t>
  </si>
  <si>
    <t xml:space="preserve"> Forest Ecosystem Classification (FEC) Ecosite Group.</t>
  </si>
  <si>
    <t xml:space="preserve"> Hardwood regeneration height is within the suitable window for pre-commercial thinning.</t>
  </si>
  <si>
    <t xml:space="preserve"> Long-Lived Intermediate–Tolerant species (LIT) are shade intermediate-tolerant that predominate in late succession stands under light disturbances.</t>
  </si>
  <si>
    <t xml:space="preserve"> Tree contains cavities. Column is active if Include Biodiversity is enabled.</t>
  </si>
  <si>
    <t xml:space="preserve"> Long-Lived Tolerant species (LT) are shade-tolerant species that regenerate readily under heavy shade.</t>
  </si>
  <si>
    <t xml:space="preserve"> Northing coordinate.</t>
  </si>
  <si>
    <t xml:space="preserve"> Name or identification number of PTA practitioner.</t>
  </si>
  <si>
    <t xml:space="preserve"> Plot was planted. Select the type of plantation.</t>
  </si>
  <si>
    <t xml:space="preserve"> Comments relating to this plot.</t>
  </si>
  <si>
    <t xml:space="preserve"> Approximate Easting of the plot.</t>
  </si>
  <si>
    <t xml:space="preserve"> Approximate Northing of the plot.</t>
  </si>
  <si>
    <t xml:space="preserve"> Unique identifier of the Plot.</t>
  </si>
  <si>
    <t xml:space="preserve"> Height predicted based on the DBH of the tree. Click Use Predicted Heights to use these heights.</t>
  </si>
  <si>
    <t xml:space="preserve"> Dead trees (snags) that contain cavities.</t>
  </si>
  <si>
    <t xml:space="preserve"> Comments relating to this stand.</t>
  </si>
  <si>
    <t xml:space="preserve"> Unique identifier of the Stand.</t>
  </si>
  <si>
    <t xml:space="preserve"> The stocking of beech regeneration greater than 25%. The highly shade-tolerant beech seedlings and suckers outcompete other hardwoods but are susceptible to beech bark disease and are not preferred growing stock.</t>
  </si>
  <si>
    <t xml:space="preserve"> Generate summary at the Stand level. Combines all plots within the stand.</t>
  </si>
  <si>
    <t xml:space="preserve"> Softwood regeneration height is within the suitable window for pre-commercial thinning.</t>
  </si>
  <si>
    <t xml:space="preserve"> Treatment(s) applied to current plot.</t>
  </si>
  <si>
    <t xml:space="preserve"> Unique identifier of the tree within the plot.</t>
  </si>
  <si>
    <t>UsePredictedHeights</t>
  </si>
  <si>
    <t>Use Predicted Heights</t>
  </si>
  <si>
    <t xml:space="preserve"> A minimum of one tree must be cored with an increment borer and aged for each PTA plot. If the plot is not suspected to be old growth, the age tree is selected as a codominant tree of average diameter (e.g., the quadratic mean diameter of the plot). The most abundant, merchantable species should be used and LIT species are preferred. If old growth is suspected, the tree selected to age should be from the most dominant LIT/LT species in the plot and should be representative of the top 20% of the basal area.</t>
  </si>
  <si>
    <t xml:space="preserve"> Trees are acceptable or unacceptable growing stock, based on the definitions in Appendix 1 of the SGEM.</t>
  </si>
  <si>
    <t xml:space="preserve"> Percent blowdown, by basal area. Blowdown includes wind damaged trees that are uprooted, have broken stems, or are leaning at an angle greater than 15o from vertical. } ,</t>
  </si>
  <si>
    <t xml:space="preserve"> Live or dead trees that contain hollows (or cavities) in the trunk or limbs, or that show signs of decay that may lead to the formation of cavities that would be used by wildlife for nesting and reproduction. This includes large trees with cavities at the base that will provide den and overwintering sites for mammals.</t>
  </si>
  <si>
    <t xml:space="preserve"> Softwood (SW), hardwood (HW), or unknown species.</t>
  </si>
  <si>
    <t xml:space="preserve"> A unique identification number for a given PTA. For example, the two letter county code, followed by the last two digits of the year collected, followed by a four-number unique identifier.</t>
  </si>
  <si>
    <t xml:space="preserve"> Measure CWM pieces that are greater than 20 cm in diameter where the transect crosses the central axis or pith of the piece. Diameter is measured perpendicular to the pith, not along the transect line. CWM pieces are measured in 20-cm diameter classes (e.g., 21-40 cm).</t>
  </si>
  <si>
    <t xml:space="preserve"> Diameter at Breast Height. Tree diameter (cm) at 1.3 m. Tally all living trees and dead trees greater than 20 cm DBH within the prism sweep, though only living merchantable trees (i.e., greater than 9 cm DBH) are counted towards the growing stock of the plot. Trees can be tallied in 2-cm diameter classes (e.g., 10, 12, 14). For example, the 20-cm class would include any tree between 19.1-21 cm DBH.</t>
  </si>
  <si>
    <t xml:space="preserve"> The deadwood information includes both standing dead trees (i.e., snags) that are tallied in the prism sweep and coarse woody material (CWM) that is measured in a separate transect. The transect should be a straight, 20-m line in a consistent direction (e.g., always north). A dead tree is considered a snag if it is standing at a 45 degrees or greater and is Coarse Woody Material when under 45 degrees.</t>
  </si>
  <si>
    <t xml:space="preserve"> Trees is unusual in context, representing a small portion of the stand, or providing for diversity within the stand (e.g. ironwood tree, black cherry, or a large yellow birch in a softwood stand). Column is active if Include Biodiversity is enabled.</t>
  </si>
  <si>
    <t xml:space="preserve"> The ecodistrict where the PTA is situated. See Nova Scotia’s Ecological Land Classification (ELC) for details. Ecoregion is needed to determine nutrient-sustainable harvest levels, along with the FEC information described below.</t>
  </si>
  <si>
    <t xml:space="preserve"> Exposure refers to the relative openness of a site to weather conditions, particularly\r\nwind and sun. Exposure can affect moisture conditions on a site and severely impact the height growth of trees.</t>
  </si>
  <si>
    <t xml:space="preserve"> The Forest Ecosystem Classification (FEC) soil type, including any phase (e.g., loamy, stony). Record whether the soil type is an inclusion or generally representative of the stand. It is also useful to record whether the soil type was identified through direct observation or was inferred because measurement was not possible (e.g.,frozen-ground conditions).</t>
  </si>
  <si>
    <t xml:space="preserve"> The Forest Ecosystem Classification (FEC) vegetation type. Record whether the vegetation type is an inclusion or generally representative of the stand. If the vegetation type is within the Planted Forest Group, record whether the plot is located on an Acadian, Maritime Boreal, or Coastal site.</t>
  </si>
  <si>
    <t xml:space="preserve"> Total tree height (m), in 1-m classes. It is acceptable to use predicted heights from models that predict tree height based on DBH and/or site conditions.</t>
  </si>
  <si>
    <t xml:space="preserve"> The horizontal structure of the stand, recorded as either\r\npatchy or uniform. For example, a spruce-fir stand might have patches of balsam\r\nfir surrounded by red spruce or the fir might be uniformly mixed with the spruce\r\nacross the stand. } ,</t>
  </si>
  <si>
    <t xml:space="preserve"> Choosing to include Biodiversity will activate the followoing columns: Cavity, Diversity, Mast.</t>
  </si>
  <si>
    <t xml:space="preserve"> Description of the location (e.g., nearest community).</t>
  </si>
  <si>
    <t xml:space="preserve"> Mast trees are those that contain fruit. The best mast trees include red oak and beech, but may also include beaked hazelnut, wild apple trees and large cone-bearing conifers. Column is active if Include Biodiversity is enabled.</t>
  </si>
  <si>
    <t xml:space="preserve"> Number of trees in the plot. Update and click 'Refresh' to add/remove trees.</t>
  </si>
  <si>
    <t xml:space="preserve"> Tree Number. If a tree is deleted, trees will automatically be re-numbered to avoid a gap.</t>
  </si>
  <si>
    <t xml:space="preserve"> Tree species.</t>
  </si>
  <si>
    <t xml:space="preserve"> Diameter at breast height (cm).</t>
  </si>
  <si>
    <t xml:space="preserve"> Acceptable Growing Stock.</t>
  </si>
  <si>
    <t xml:space="preserve"> Longlived, intermediate to shade tolerant.</t>
  </si>
  <si>
    <t xml:space="preserve"> Legacy Tree.</t>
  </si>
  <si>
    <t xml:space="preserve"> Mast Tree.</t>
  </si>
  <si>
    <t xml:space="preserve"> Wildlife cavity is present.</t>
  </si>
  <si>
    <t xml:space="preserve"> Uncommon species such as black cherry and ironwood.</t>
  </si>
  <si>
    <t xml:space="preserve"> The breast height age of the old growth sampled tree. } ,</t>
  </si>
  <si>
    <t xml:space="preserve"> At least one cohort is past the onset age of senescence (Table 1).  } ,</t>
  </si>
  <si>
    <t xml:space="preserve"> Organization name (e.g. company name, etc.)</t>
  </si>
  <si>
    <t xml:space="preserve"> Snag diameter at 1.3 m. Only tally snags that are greater than 20 cm DBH. Snags are tallied in 10-cm diameter classes (e.g., 21-30 cm).</t>
  </si>
  <si>
    <t xml:space="preserve"> Note that only commercial species will count towards the growing stock of the plot but all species should be recorded. Being able to identify long-lived, intermediate-to-tolerant (LIT) and long-lived, tolerant (LT) species is an essential component of PTA. If the tree is planted, identify whether it is in situ or ex situ, as described in the SGEM and FEC Field Guide.</t>
  </si>
  <si>
    <t xml:space="preserve"> Total area of Stand, in hectares.</t>
  </si>
  <si>
    <t xml:space="preserve"> Percent stocking of LIT trees of seed-bearing age at 20-m spacing. } ,</t>
  </si>
  <si>
    <t xml:space="preserve"> Percent stocking of all commercial tree species in 10% stocking classes. } ,</t>
  </si>
  <si>
    <t xml:space="preserve"> Percent stocking of all LIT species in 10% stocking classes.</t>
  </si>
  <si>
    <t xml:space="preserve"> Generate summary at the Plot level. If trees are updated, please re-generate the Plot summary.</t>
  </si>
  <si>
    <t xml:space="preserve"> Percent cover of woody plants in the understory between 1 and 3 m in height, recorded as either trees or shrubs. } ,</t>
  </si>
  <si>
    <t xml:space="preserve"> Includes two-aged, multi-aged, and all-aged stands. } ,</t>
  </si>
  <si>
    <t xml:space="preserve"> Set the heights of all trees to the heights in the 'Predicted Heights' column. Predicted heights are based on DBH/height relationships for hardwood and softwood trees. } ,</t>
  </si>
  <si>
    <t>CWMTransectDirection</t>
  </si>
  <si>
    <t>CWMTransectLength</t>
  </si>
  <si>
    <t>TESTING</t>
  </si>
  <si>
    <t>Label in App</t>
  </si>
  <si>
    <t>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</si>
</sst>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2" fillId="0" borderId="0" xfId="0" applyFont="1"/>
    <xf numFmtId="0" fontId="1" fillId="0" borderId="0" xfId="0" applyFont="1"/>
    <xf numFmtId="0" fontId="0" fillId="0" borderId="0" xfId="0" applyFill="1"/>
    <xf numFmtId="0" fontId="1" fillId="0" borderId="0" xfId="0" applyFont="1" applyFill="1"/>
  </cellXfs>
  <cellStyles count="1">
    <cellStyle name="Normal" xfId="0" builtinId="0"/>
  </cellStyles>
  <dxfs count="2">
    <dxf>
      <font>
        <color rgb="FF9C0006"/>
      </font>
      <fill>
        <patternFill>
          <bgColor rgb="FFFFC7CE"/>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591398</xdr:colOff>
      <xdr:row>46</xdr:row>
      <xdr:rowOff>163171</xdr:rowOff>
    </xdr:to>
    <xdr:pic>
      <xdr:nvPicPr>
        <xdr:cNvPr id="2" name="Picture 1">
          <a:extLst>
            <a:ext uri="{FF2B5EF4-FFF2-40B4-BE49-F238E27FC236}">
              <a16:creationId xmlns:a16="http://schemas.microsoft.com/office/drawing/2014/main" id="{B75C4D6E-E187-0745-828F-69C6BCB42D60}"/>
            </a:ext>
          </a:extLst>
        </xdr:cNvPr>
        <xdr:cNvPicPr>
          <a:picLocks noChangeAspect="1"/>
        </xdr:cNvPicPr>
      </xdr:nvPicPr>
      <xdr:blipFill>
        <a:blip xmlns:r="http://schemas.openxmlformats.org/officeDocument/2006/relationships" r:embed="rId1"/>
        <a:stretch>
          <a:fillRect/>
        </a:stretch>
      </xdr:blipFill>
      <xdr:spPr>
        <a:xfrm>
          <a:off x="0" y="0"/>
          <a:ext cx="6077798" cy="892617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172325</xdr:colOff>
      <xdr:row>32</xdr:row>
      <xdr:rowOff>134219</xdr:rowOff>
    </xdr:to>
    <xdr:pic>
      <xdr:nvPicPr>
        <xdr:cNvPr id="2" name="Picture 1">
          <a:extLst>
            <a:ext uri="{FF2B5EF4-FFF2-40B4-BE49-F238E27FC236}">
              <a16:creationId xmlns:a16="http://schemas.microsoft.com/office/drawing/2014/main" id="{5A9BA3C4-9CE0-DC31-9650-DF83D4C4A293}"/>
            </a:ext>
          </a:extLst>
        </xdr:cNvPr>
        <xdr:cNvPicPr>
          <a:picLocks noChangeAspect="1"/>
        </xdr:cNvPicPr>
      </xdr:nvPicPr>
      <xdr:blipFill>
        <a:blip xmlns:r="http://schemas.openxmlformats.org/officeDocument/2006/relationships" r:embed="rId1"/>
        <a:stretch>
          <a:fillRect/>
        </a:stretch>
      </xdr:blipFill>
      <xdr:spPr>
        <a:xfrm>
          <a:off x="0" y="0"/>
          <a:ext cx="6268325" cy="6230219"/>
        </a:xfrm>
        <a:prstGeom prst="rect">
          <a:avLst/>
        </a:prstGeom>
      </xdr:spPr>
    </xdr:pic>
    <xdr:clientData/>
  </xdr:twoCellAnchor>
  <xdr:twoCellAnchor editAs="oneCell">
    <xdr:from>
      <xdr:col>0</xdr:col>
      <xdr:colOff>0</xdr:colOff>
      <xdr:row>33</xdr:row>
      <xdr:rowOff>0</xdr:rowOff>
    </xdr:from>
    <xdr:to>
      <xdr:col>10</xdr:col>
      <xdr:colOff>229483</xdr:colOff>
      <xdr:row>67</xdr:row>
      <xdr:rowOff>153325</xdr:rowOff>
    </xdr:to>
    <xdr:pic>
      <xdr:nvPicPr>
        <xdr:cNvPr id="3" name="Picture 2">
          <a:extLst>
            <a:ext uri="{FF2B5EF4-FFF2-40B4-BE49-F238E27FC236}">
              <a16:creationId xmlns:a16="http://schemas.microsoft.com/office/drawing/2014/main" id="{B5138637-1F91-8DE9-46C3-722EC7E676F6}"/>
            </a:ext>
          </a:extLst>
        </xdr:cNvPr>
        <xdr:cNvPicPr>
          <a:picLocks noChangeAspect="1"/>
        </xdr:cNvPicPr>
      </xdr:nvPicPr>
      <xdr:blipFill>
        <a:blip xmlns:r="http://schemas.openxmlformats.org/officeDocument/2006/relationships" r:embed="rId2"/>
        <a:stretch>
          <a:fillRect/>
        </a:stretch>
      </xdr:blipFill>
      <xdr:spPr>
        <a:xfrm>
          <a:off x="0" y="6286500"/>
          <a:ext cx="6325483" cy="6630325"/>
        </a:xfrm>
        <a:prstGeom prst="rect">
          <a:avLst/>
        </a:prstGeom>
      </xdr:spPr>
    </xdr:pic>
    <xdr:clientData/>
  </xdr:twoCellAnchor>
  <xdr:twoCellAnchor editAs="oneCell">
    <xdr:from>
      <xdr:col>0</xdr:col>
      <xdr:colOff>0</xdr:colOff>
      <xdr:row>68</xdr:row>
      <xdr:rowOff>0</xdr:rowOff>
    </xdr:from>
    <xdr:to>
      <xdr:col>8</xdr:col>
      <xdr:colOff>191207</xdr:colOff>
      <xdr:row>96</xdr:row>
      <xdr:rowOff>10271</xdr:rowOff>
    </xdr:to>
    <xdr:pic>
      <xdr:nvPicPr>
        <xdr:cNvPr id="4" name="Picture 3">
          <a:extLst>
            <a:ext uri="{FF2B5EF4-FFF2-40B4-BE49-F238E27FC236}">
              <a16:creationId xmlns:a16="http://schemas.microsoft.com/office/drawing/2014/main" id="{3BA975C6-767E-357D-5F2C-845C9337A439}"/>
            </a:ext>
          </a:extLst>
        </xdr:cNvPr>
        <xdr:cNvPicPr>
          <a:picLocks noChangeAspect="1"/>
        </xdr:cNvPicPr>
      </xdr:nvPicPr>
      <xdr:blipFill>
        <a:blip xmlns:r="http://schemas.openxmlformats.org/officeDocument/2006/relationships" r:embed="rId3"/>
        <a:stretch>
          <a:fillRect/>
        </a:stretch>
      </xdr:blipFill>
      <xdr:spPr>
        <a:xfrm>
          <a:off x="0" y="12954000"/>
          <a:ext cx="5068007" cy="534427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24</xdr:col>
      <xdr:colOff>21095</xdr:colOff>
      <xdr:row>20</xdr:row>
      <xdr:rowOff>143427</xdr:rowOff>
    </xdr:to>
    <xdr:pic>
      <xdr:nvPicPr>
        <xdr:cNvPr id="2" name="Picture 1">
          <a:extLst>
            <a:ext uri="{FF2B5EF4-FFF2-40B4-BE49-F238E27FC236}">
              <a16:creationId xmlns:a16="http://schemas.microsoft.com/office/drawing/2014/main" id="{2D6A298E-E8DF-D3D7-D3BD-E832A13EA6B8}"/>
            </a:ext>
          </a:extLst>
        </xdr:cNvPr>
        <xdr:cNvPicPr>
          <a:picLocks noChangeAspect="1"/>
        </xdr:cNvPicPr>
      </xdr:nvPicPr>
      <xdr:blipFill>
        <a:blip xmlns:r="http://schemas.openxmlformats.org/officeDocument/2006/relationships" r:embed="rId1"/>
        <a:stretch>
          <a:fillRect/>
        </a:stretch>
      </xdr:blipFill>
      <xdr:spPr>
        <a:xfrm>
          <a:off x="0" y="0"/>
          <a:ext cx="14651495" cy="395342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486694</xdr:colOff>
      <xdr:row>24</xdr:row>
      <xdr:rowOff>67322</xdr:rowOff>
    </xdr:to>
    <xdr:pic>
      <xdr:nvPicPr>
        <xdr:cNvPr id="2" name="Picture 1">
          <a:extLst>
            <a:ext uri="{FF2B5EF4-FFF2-40B4-BE49-F238E27FC236}">
              <a16:creationId xmlns:a16="http://schemas.microsoft.com/office/drawing/2014/main" id="{156A4C7A-3A7C-0E34-8166-36AD6BE2770D}"/>
            </a:ext>
          </a:extLst>
        </xdr:cNvPr>
        <xdr:cNvPicPr>
          <a:picLocks noChangeAspect="1"/>
        </xdr:cNvPicPr>
      </xdr:nvPicPr>
      <xdr:blipFill>
        <a:blip xmlns:r="http://schemas.openxmlformats.org/officeDocument/2006/relationships" r:embed="rId1"/>
        <a:stretch>
          <a:fillRect/>
        </a:stretch>
      </xdr:blipFill>
      <xdr:spPr>
        <a:xfrm>
          <a:off x="0" y="0"/>
          <a:ext cx="6582694" cy="463932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19989</xdr:colOff>
      <xdr:row>29</xdr:row>
      <xdr:rowOff>57929</xdr:rowOff>
    </xdr:to>
    <xdr:pic>
      <xdr:nvPicPr>
        <xdr:cNvPr id="2" name="Picture 1">
          <a:extLst>
            <a:ext uri="{FF2B5EF4-FFF2-40B4-BE49-F238E27FC236}">
              <a16:creationId xmlns:a16="http://schemas.microsoft.com/office/drawing/2014/main" id="{1FB4EAD0-D362-5719-47A5-63BC646658F1}"/>
            </a:ext>
          </a:extLst>
        </xdr:cNvPr>
        <xdr:cNvPicPr>
          <a:picLocks noChangeAspect="1"/>
        </xdr:cNvPicPr>
      </xdr:nvPicPr>
      <xdr:blipFill>
        <a:blip xmlns:r="http://schemas.openxmlformats.org/officeDocument/2006/relationships" r:embed="rId1"/>
        <a:stretch>
          <a:fillRect/>
        </a:stretch>
      </xdr:blipFill>
      <xdr:spPr>
        <a:xfrm>
          <a:off x="0" y="0"/>
          <a:ext cx="6725589" cy="55824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162884</xdr:colOff>
      <xdr:row>36</xdr:row>
      <xdr:rowOff>58115</xdr:rowOff>
    </xdr:to>
    <xdr:pic>
      <xdr:nvPicPr>
        <xdr:cNvPr id="2" name="Picture 1">
          <a:extLst>
            <a:ext uri="{FF2B5EF4-FFF2-40B4-BE49-F238E27FC236}">
              <a16:creationId xmlns:a16="http://schemas.microsoft.com/office/drawing/2014/main" id="{282871DB-C99C-C9CF-AD4C-5720E8ED9D35}"/>
            </a:ext>
          </a:extLst>
        </xdr:cNvPr>
        <xdr:cNvPicPr>
          <a:picLocks noChangeAspect="1"/>
        </xdr:cNvPicPr>
      </xdr:nvPicPr>
      <xdr:blipFill>
        <a:blip xmlns:r="http://schemas.openxmlformats.org/officeDocument/2006/relationships" r:embed="rId1"/>
        <a:stretch>
          <a:fillRect/>
        </a:stretch>
      </xdr:blipFill>
      <xdr:spPr>
        <a:xfrm>
          <a:off x="0" y="0"/>
          <a:ext cx="6868484" cy="691611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6835C-F88C-406D-AC0F-8F77C434A795}">
  <dimension ref="A1:E60"/>
  <sheetViews>
    <sheetView tabSelected="1" topLeftCell="A49" workbookViewId="0">
      <selection activeCell="E67" sqref="E67"/>
    </sheetView>
  </sheetViews>
  <sheetFormatPr defaultRowHeight="15" x14ac:dyDescent="0.25"/>
  <cols>
    <col min="1" max="1" width="16.7109375" customWidth="1"/>
    <col min="2" max="2" width="37.7109375" customWidth="1"/>
    <col min="3" max="3" width="0" hidden="1" customWidth="1"/>
    <col min="4" max="4" width="19" style="3" hidden="1" customWidth="1"/>
    <col min="5" max="5" width="84.42578125" customWidth="1"/>
  </cols>
  <sheetData>
    <row r="1" spans="1:5" x14ac:dyDescent="0.25">
      <c r="A1" s="2" t="s">
        <v>0</v>
      </c>
      <c r="B1" s="2" t="s">
        <v>199</v>
      </c>
      <c r="C1" s="2" t="s">
        <v>198</v>
      </c>
      <c r="D1" s="4" t="s">
        <v>60</v>
      </c>
      <c r="E1" s="2" t="s">
        <v>10</v>
      </c>
    </row>
    <row r="2" spans="1:5" x14ac:dyDescent="0.25">
      <c r="A2" t="s">
        <v>1</v>
      </c>
      <c r="B2" t="s">
        <v>2</v>
      </c>
      <c r="C2" t="b">
        <v>1</v>
      </c>
      <c r="D2" s="3" t="s">
        <v>59</v>
      </c>
      <c r="E2" t="str">
        <f>VLOOKUP(D2,_helpTextLookup!A:B,2,FALSE)</f>
        <v xml:space="preserve"> Unique identifier of the Stand.</v>
      </c>
    </row>
    <row r="3" spans="1:5" x14ac:dyDescent="0.25">
      <c r="B3" t="s">
        <v>3</v>
      </c>
      <c r="C3" t="b">
        <v>1</v>
      </c>
      <c r="D3" s="3" t="s">
        <v>59</v>
      </c>
      <c r="E3" t="str">
        <f>VLOOKUP(D3,_helpTextLookup!A:B,2,FALSE)</f>
        <v xml:space="preserve"> Unique identifier of the Stand.</v>
      </c>
    </row>
    <row r="4" spans="1:5" x14ac:dyDescent="0.25">
      <c r="B4" t="s">
        <v>4</v>
      </c>
      <c r="C4" t="s">
        <v>87</v>
      </c>
      <c r="D4" s="3" t="s">
        <v>61</v>
      </c>
      <c r="E4" t="str">
        <f>VLOOKUP(D4,_helpTextLookup!A:B,2,FALSE)</f>
        <v xml:space="preserve"> Comments relating to this stand.</v>
      </c>
    </row>
    <row r="5" spans="1:5" x14ac:dyDescent="0.25">
      <c r="B5" t="s">
        <v>5</v>
      </c>
      <c r="C5" t="b">
        <v>1</v>
      </c>
      <c r="D5" s="3" t="s">
        <v>62</v>
      </c>
      <c r="E5" t="str">
        <f>VLOOKUP(D5,_helpTextLookup!A:B,2,FALSE)</f>
        <v xml:space="preserve"> A unique identification number for a given PTA. For example, the two letter county code, followed by the last two digits of the year collected, followed by a four-number unique identifier.</v>
      </c>
    </row>
    <row r="6" spans="1:5" x14ac:dyDescent="0.25">
      <c r="B6" t="s">
        <v>6</v>
      </c>
      <c r="C6" t="b">
        <v>1</v>
      </c>
      <c r="D6" s="3" t="s">
        <v>63</v>
      </c>
      <c r="E6" t="str">
        <f>VLOOKUP(D6,_helpTextLookup!A:B,2,FALSE)</f>
        <v xml:space="preserve"> Name or identification number of PTA practitioner.</v>
      </c>
    </row>
    <row r="7" spans="1:5" x14ac:dyDescent="0.25">
      <c r="B7" t="s">
        <v>7</v>
      </c>
      <c r="C7" t="b">
        <v>1</v>
      </c>
      <c r="D7" s="3" t="s">
        <v>64</v>
      </c>
      <c r="E7" t="str">
        <f>VLOOKUP(D7,_helpTextLookup!A:B,2,FALSE)</f>
        <v xml:space="preserve"> Total area of Stand, in hectares.</v>
      </c>
    </row>
    <row r="8" spans="1:5" x14ac:dyDescent="0.25">
      <c r="B8" t="s">
        <v>8</v>
      </c>
      <c r="C8" t="b">
        <v>1</v>
      </c>
      <c r="D8" s="3" t="s">
        <v>8</v>
      </c>
      <c r="E8" t="str">
        <f>VLOOKUP(D8,_helpTextLookup!A:B,2,FALSE)</f>
        <v xml:space="preserve"> Organization name (e.g. company name, etc.)</v>
      </c>
    </row>
    <row r="9" spans="1:5" x14ac:dyDescent="0.25">
      <c r="B9" t="s">
        <v>9</v>
      </c>
      <c r="C9" t="b">
        <v>1</v>
      </c>
      <c r="D9" s="3" t="s">
        <v>9</v>
      </c>
      <c r="E9" t="str">
        <f>VLOOKUP(D9,_helpTextLookup!A:B,2,FALSE)</f>
        <v xml:space="preserve"> Description of the location (e.g., nearest community).</v>
      </c>
    </row>
    <row r="10" spans="1:5" x14ac:dyDescent="0.25">
      <c r="A10" t="s">
        <v>39</v>
      </c>
      <c r="B10" t="s">
        <v>11</v>
      </c>
      <c r="C10" t="b">
        <v>1</v>
      </c>
      <c r="D10" s="3" t="s">
        <v>65</v>
      </c>
      <c r="E10" t="str">
        <f>VLOOKUP(D10,_helpTextLookup!A:B,2,FALSE)</f>
        <v xml:space="preserve"> Unique identifier of the Plot.</v>
      </c>
    </row>
    <row r="11" spans="1:5" x14ac:dyDescent="0.25">
      <c r="B11" t="s">
        <v>12</v>
      </c>
      <c r="C11" t="b">
        <v>1</v>
      </c>
      <c r="D11" s="3" t="s">
        <v>65</v>
      </c>
      <c r="E11" t="str">
        <f>VLOOKUP(D11,_helpTextLookup!A:B,2,FALSE)</f>
        <v xml:space="preserve"> Unique identifier of the Plot.</v>
      </c>
    </row>
    <row r="12" spans="1:5" x14ac:dyDescent="0.25">
      <c r="B12" t="s">
        <v>13</v>
      </c>
      <c r="C12" t="b">
        <v>1</v>
      </c>
      <c r="D12" s="3" t="s">
        <v>66</v>
      </c>
      <c r="E12" t="str">
        <f>VLOOKUP(D12,_helpTextLookup!A:B,2,FALSE)</f>
        <v xml:space="preserve"> Comments relating to this plot.</v>
      </c>
    </row>
    <row r="13" spans="1:5" x14ac:dyDescent="0.25">
      <c r="B13" t="s">
        <v>14</v>
      </c>
      <c r="C13" t="s">
        <v>87</v>
      </c>
      <c r="D13" s="3" t="s">
        <v>67</v>
      </c>
      <c r="E13" t="str">
        <f>VLOOKUP(D13,_helpTextLookup!A:B,2,FALSE)</f>
        <v xml:space="preserve"> Approximate Easting of the plot.</v>
      </c>
    </row>
    <row r="14" spans="1:5" x14ac:dyDescent="0.25">
      <c r="B14" t="s">
        <v>15</v>
      </c>
      <c r="C14" t="s">
        <v>87</v>
      </c>
      <c r="D14" s="3" t="s">
        <v>68</v>
      </c>
      <c r="E14" t="str">
        <f>VLOOKUP(D14,_helpTextLookup!A:B,2,FALSE)</f>
        <v xml:space="preserve"> Approximate Northing of the plot.</v>
      </c>
    </row>
    <row r="15" spans="1:5" x14ac:dyDescent="0.25">
      <c r="B15" t="s">
        <v>16</v>
      </c>
      <c r="C15" t="s">
        <v>87</v>
      </c>
      <c r="D15" s="3" t="s">
        <v>69</v>
      </c>
      <c r="E15" t="str">
        <f>VLOOKUP(D15,_helpTextLookup!A:B,2,FALSE)</f>
        <v xml:space="preserve"> Treatment(s) applied to current plot.</v>
      </c>
    </row>
    <row r="16" spans="1:5" x14ac:dyDescent="0.25">
      <c r="B16" t="s">
        <v>17</v>
      </c>
      <c r="C16" t="s">
        <v>87</v>
      </c>
      <c r="D16" s="3" t="s">
        <v>70</v>
      </c>
      <c r="E16" t="str">
        <f>VLOOKUP(D16,_helpTextLookup!A:B,2,FALSE)</f>
        <v xml:space="preserve"> Plot was planted. Select the type of plantation.</v>
      </c>
    </row>
    <row r="17" spans="2:5" x14ac:dyDescent="0.25">
      <c r="B17" t="s">
        <v>18</v>
      </c>
      <c r="C17" t="s">
        <v>87</v>
      </c>
      <c r="D17" s="3" t="s">
        <v>71</v>
      </c>
      <c r="E17" t="str">
        <f>VLOOKUP(D17,_helpTextLookup!A:B,2,FALSE)</f>
        <v xml:space="preserve"> Forest Ecosystem Classification (FEC) Ecosite Group.</v>
      </c>
    </row>
    <row r="18" spans="2:5" x14ac:dyDescent="0.25">
      <c r="B18" t="s">
        <v>19</v>
      </c>
      <c r="C18" t="s">
        <v>87</v>
      </c>
      <c r="D18" s="3" t="s">
        <v>19</v>
      </c>
      <c r="E18" t="str">
        <f>VLOOKUP(D18,_helpTextLookup!A:B,2,FALSE)</f>
        <v xml:space="preserve"> The ecodistrict where the PTA is situated. See Nova Scotia’s Ecological Land Classification (ELC) for details. Ecoregion is needed to determine nutrient-sustainable harvest levels, along with the FEC information described below.</v>
      </c>
    </row>
    <row r="19" spans="2:5" x14ac:dyDescent="0.25">
      <c r="B19" t="s">
        <v>20</v>
      </c>
      <c r="C19" t="s">
        <v>87</v>
      </c>
      <c r="D19" s="3" t="s">
        <v>20</v>
      </c>
      <c r="E19" t="str">
        <f>VLOOKUP(D19,_helpTextLookup!A:B,2,FALSE)</f>
        <v xml:space="preserve"> Exposure refers to the relative openness of a site to weather conditions, particularly\r\nwind and sun. Exposure can affect moisture conditions on a site and severely impact the height growth of trees.</v>
      </c>
    </row>
    <row r="20" spans="2:5" x14ac:dyDescent="0.25">
      <c r="B20" t="s">
        <v>21</v>
      </c>
      <c r="C20" t="b">
        <v>1</v>
      </c>
      <c r="D20" s="3" t="s">
        <v>72</v>
      </c>
      <c r="E20" t="str">
        <f>VLOOKUP(D20,_helpTextLookup!A:B,2,FALSE)</f>
        <v xml:space="preserve"> The Forest Ecosystem Classification (FEC) soil type, including any phase (e.g., loamy, stony). Record whether the soil type is an inclusion or generally representative of the stand. It is also useful to record whether the soil type was identified through direct observation or was inferred because measurement was not possible (e.g.,frozen-ground conditions).</v>
      </c>
    </row>
    <row r="21" spans="2:5" x14ac:dyDescent="0.25">
      <c r="B21" t="s">
        <v>22</v>
      </c>
      <c r="C21" t="b">
        <v>1</v>
      </c>
      <c r="D21" s="3" t="s">
        <v>73</v>
      </c>
      <c r="E21" t="str">
        <f>VLOOKUP(D21,_helpTextLookup!A:B,2,FALSE)</f>
        <v xml:space="preserve"> The Forest Ecosystem Classification (FEC) vegetation type. Record whether the vegetation type is an inclusion or generally representative of the stand. If the vegetation type is within the Planted Forest Group, record whether the plot is located on an Acadian, Maritime Boreal, or Coastal site.</v>
      </c>
    </row>
    <row r="22" spans="2:5" x14ac:dyDescent="0.25">
      <c r="B22" t="s">
        <v>23</v>
      </c>
      <c r="C22" t="b">
        <v>1</v>
      </c>
      <c r="D22" s="3" t="s">
        <v>74</v>
      </c>
      <c r="E22" t="str">
        <f>VLOOKUP(D22,_helpTextLookup!A:B,2,FALSE)</f>
        <v xml:space="preserve"> Softwood regeneration height is within the suitable window for pre-commercial thinning.</v>
      </c>
    </row>
    <row r="23" spans="2:5" x14ac:dyDescent="0.25">
      <c r="B23" t="s">
        <v>24</v>
      </c>
      <c r="C23" t="b">
        <v>1</v>
      </c>
      <c r="D23" s="3" t="s">
        <v>75</v>
      </c>
      <c r="E23" t="str">
        <f>VLOOKUP(D23,_helpTextLookup!A:B,2,FALSE)</f>
        <v xml:space="preserve"> Hardwood regeneration height is within the suitable window for pre-commercial thinning.</v>
      </c>
    </row>
    <row r="24" spans="2:5" x14ac:dyDescent="0.25">
      <c r="B24" t="s">
        <v>25</v>
      </c>
      <c r="C24" t="b">
        <v>1</v>
      </c>
      <c r="D24" s="3" t="s">
        <v>76</v>
      </c>
      <c r="E24" t="str">
        <f>VLOOKUP(D24,_helpTextLookup!A:B,2,FALSE)</f>
        <v xml:space="preserve"> The stocking of beech regeneration greater than 25%. The highly shade-tolerant beech seedlings and suckers outcompete other hardwoods but are susceptible to beech bark disease and are not preferred growing stock.</v>
      </c>
    </row>
    <row r="25" spans="2:5" x14ac:dyDescent="0.25">
      <c r="B25" s="1" t="s">
        <v>32</v>
      </c>
      <c r="C25" t="b">
        <v>1</v>
      </c>
      <c r="D25" s="3" t="s">
        <v>77</v>
      </c>
      <c r="E25" t="str">
        <f>VLOOKUP(D25,_helpTextLookup!A:B,2,FALSE)</f>
        <v xml:space="preserve"> Percent stocking of all commercial tree species in 10% stocking classes. } ,</v>
      </c>
    </row>
    <row r="26" spans="2:5" x14ac:dyDescent="0.25">
      <c r="B26" s="1" t="s">
        <v>33</v>
      </c>
      <c r="C26" t="b">
        <v>1</v>
      </c>
      <c r="D26" s="3" t="s">
        <v>78</v>
      </c>
      <c r="E26" t="str">
        <f>VLOOKUP(D26,_helpTextLookup!A:B,2,FALSE)</f>
        <v xml:space="preserve"> Percent stocking of all LIT species in 10% stocking classes.</v>
      </c>
    </row>
    <row r="27" spans="2:5" x14ac:dyDescent="0.25">
      <c r="B27" t="s">
        <v>30</v>
      </c>
      <c r="C27" t="b">
        <v>1</v>
      </c>
      <c r="D27" s="3" t="s">
        <v>79</v>
      </c>
      <c r="E27" t="str">
        <f>VLOOKUP(D27,_helpTextLookup!A:B,2,FALSE)</f>
        <v xml:space="preserve"> Percent stocking of LIT trees of seed-bearing age at 20-m spacing. } ,</v>
      </c>
    </row>
    <row r="28" spans="2:5" x14ac:dyDescent="0.25">
      <c r="B28" t="s">
        <v>31</v>
      </c>
      <c r="C28" t="b">
        <v>1</v>
      </c>
      <c r="D28" s="3" t="s">
        <v>26</v>
      </c>
      <c r="E28" t="str">
        <f>VLOOKUP(D28,_helpTextLookup!A:B,2,FALSE)</f>
        <v xml:space="preserve"> Percent blowdown, by basal area. Blowdown includes wind damaged trees that are uprooted, have broken stems, or are leaning at an angle greater than 15o from vertical. } ,</v>
      </c>
    </row>
    <row r="29" spans="2:5" x14ac:dyDescent="0.25">
      <c r="B29" t="s">
        <v>27</v>
      </c>
      <c r="C29" t="b">
        <v>1</v>
      </c>
      <c r="D29" s="3" t="s">
        <v>80</v>
      </c>
      <c r="E29" t="str">
        <f>VLOOKUP(D29,_helpTextLookup!A:B,2,FALSE)</f>
        <v xml:space="preserve"> At least one cohort is past the onset age of senescence (Table 1).  } ,</v>
      </c>
    </row>
    <row r="30" spans="2:5" x14ac:dyDescent="0.25">
      <c r="B30" t="s">
        <v>29</v>
      </c>
      <c r="C30" t="b">
        <v>1</v>
      </c>
      <c r="D30" s="3" t="s">
        <v>81</v>
      </c>
      <c r="E30" t="str">
        <f>VLOOKUP(D30,_helpTextLookup!A:B,2,FALSE)</f>
        <v xml:space="preserve"> Includes two-aged, multi-aged, and all-aged stands. } ,</v>
      </c>
    </row>
    <row r="31" spans="2:5" x14ac:dyDescent="0.25">
      <c r="B31" t="s">
        <v>28</v>
      </c>
      <c r="C31" t="b">
        <v>1</v>
      </c>
      <c r="D31" s="3" t="s">
        <v>82</v>
      </c>
      <c r="E31" t="str">
        <f>VLOOKUP(D31,_helpTextLookup!A:B,2,FALSE)</f>
        <v xml:space="preserve"> Percent cover of woody plants in the understory between 1 and 3 m in height, recorded as either trees or shrubs. } ,</v>
      </c>
    </row>
    <row r="32" spans="2:5" x14ac:dyDescent="0.25">
      <c r="B32" t="s">
        <v>34</v>
      </c>
      <c r="C32" t="b">
        <v>1</v>
      </c>
      <c r="D32" s="3" t="s">
        <v>83</v>
      </c>
      <c r="E32" t="str">
        <f>VLOOKUP(D32,_helpTextLookup!A:B,2,FALSE)</f>
        <v xml:space="preserve"> Understory dominated by trees or woody shrubs.</v>
      </c>
    </row>
    <row r="33" spans="1:5" x14ac:dyDescent="0.25">
      <c r="B33" t="s">
        <v>35</v>
      </c>
      <c r="D33" s="3" t="s">
        <v>84</v>
      </c>
      <c r="E33" t="str">
        <f>VLOOKUP(D33,_helpTextLookup!A:B,2,FALSE)</f>
        <v xml:space="preserve"> A minimum of one tree must be cored with an increment borer and aged for each PTA plot. If the plot is not suspected to be old growth, the age tree is selected as a codominant tree of average diameter (e.g., the quadratic mean diameter of the plot). The most abundant, merchantable species should be used and LIT species are preferred. If old growth is suspected, the tree selected to age should be from the most dominant LIT/LT species in the plot and should be representative of the top 20% of the basal area.</v>
      </c>
    </row>
    <row r="34" spans="1:5" x14ac:dyDescent="0.25">
      <c r="B34" t="s">
        <v>36</v>
      </c>
      <c r="C34" t="s">
        <v>87</v>
      </c>
      <c r="D34" s="3" t="s">
        <v>85</v>
      </c>
      <c r="E34" t="str">
        <f>VLOOKUP(D34,_helpTextLookup!A:B,2,FALSE)</f>
        <v xml:space="preserve"> Species of the tree selected for aging.</v>
      </c>
    </row>
    <row r="35" spans="1:5" x14ac:dyDescent="0.25">
      <c r="B35" t="s">
        <v>37</v>
      </c>
      <c r="C35" t="s">
        <v>87</v>
      </c>
      <c r="D35" s="3" t="s">
        <v>86</v>
      </c>
      <c r="E35" t="str">
        <f>VLOOKUP(D35,_helpTextLookup!A:B,2,FALSE)</f>
        <v xml:space="preserve"> The breast height age of the sampled tree.</v>
      </c>
    </row>
    <row r="36" spans="1:5" x14ac:dyDescent="0.25">
      <c r="B36" t="s">
        <v>38</v>
      </c>
      <c r="C36" t="s">
        <v>87</v>
      </c>
      <c r="D36" s="3" t="s">
        <v>88</v>
      </c>
      <c r="E36" t="str">
        <f>VLOOKUP(D36,_helpTextLookup!A:B,2,FALSE)</f>
        <v xml:space="preserve"> Diameter at 1.3 m of the tree selected for aging.</v>
      </c>
    </row>
    <row r="37" spans="1:5" x14ac:dyDescent="0.25">
      <c r="A37" t="s">
        <v>40</v>
      </c>
      <c r="B37" t="s">
        <v>41</v>
      </c>
      <c r="C37" t="b">
        <v>1</v>
      </c>
      <c r="D37" s="3" t="s">
        <v>97</v>
      </c>
      <c r="E37" t="str">
        <f>VLOOKUP(D37,_helpTextLookup!A:B,2,FALSE)</f>
        <v xml:space="preserve"> Choosing to include Biodiversity will activate the followoing columns: Cavity, Diversity, Mast.</v>
      </c>
    </row>
    <row r="38" spans="1:5" x14ac:dyDescent="0.25">
      <c r="B38" t="s">
        <v>50</v>
      </c>
      <c r="C38" t="s">
        <v>87</v>
      </c>
      <c r="D38" s="3" t="s">
        <v>106</v>
      </c>
      <c r="E38" t="str">
        <f>VLOOKUP(D38,_helpTextLookup!A:B,2,FALSE)</f>
        <v xml:space="preserve"> Number of trees in the plot. Update and click 'Refresh' to add/remove trees.</v>
      </c>
    </row>
    <row r="39" spans="1:5" x14ac:dyDescent="0.25">
      <c r="B39" t="s">
        <v>42</v>
      </c>
      <c r="C39" t="s">
        <v>87</v>
      </c>
      <c r="D39" s="3" t="s">
        <v>108</v>
      </c>
      <c r="E39" t="str">
        <f>VLOOKUP(D39,_helpTextLookup!A:B,2,FALSE)</f>
        <v xml:space="preserve"> Tree Number. If a tree is deleted, trees will automatically be re-numbered to avoid a gap.</v>
      </c>
    </row>
    <row r="40" spans="1:5" x14ac:dyDescent="0.25">
      <c r="B40" t="s">
        <v>43</v>
      </c>
      <c r="C40" t="s">
        <v>87</v>
      </c>
      <c r="D40" s="3" t="s">
        <v>107</v>
      </c>
      <c r="E40" t="str">
        <f>VLOOKUP(D40,_helpTextLookup!A:B,2,FALSE)</f>
        <v xml:space="preserve"> Tree species.</v>
      </c>
    </row>
    <row r="41" spans="1:5" x14ac:dyDescent="0.25">
      <c r="B41" t="s">
        <v>53</v>
      </c>
      <c r="C41" t="s">
        <v>87</v>
      </c>
      <c r="D41" s="3" t="s">
        <v>110</v>
      </c>
      <c r="E41" t="str">
        <f>VLOOKUP(D41,_helpTextLookup!A:B,2,FALSE)</f>
        <v xml:space="preserve"> Diameter at breast height (cm).</v>
      </c>
    </row>
    <row r="42" spans="1:5" x14ac:dyDescent="0.25">
      <c r="B42" t="s">
        <v>44</v>
      </c>
      <c r="C42" t="s">
        <v>87</v>
      </c>
      <c r="D42" s="3" t="s">
        <v>111</v>
      </c>
      <c r="E42" t="str">
        <f>VLOOKUP(D42,_helpTextLookup!A:B,2,FALSE)</f>
        <v xml:space="preserve"> Acceptable Growing Stock.</v>
      </c>
    </row>
    <row r="43" spans="1:5" x14ac:dyDescent="0.25">
      <c r="B43" t="s">
        <v>45</v>
      </c>
      <c r="C43" t="s">
        <v>87</v>
      </c>
      <c r="D43" s="3" t="s">
        <v>109</v>
      </c>
      <c r="E43" t="str">
        <f>VLOOKUP(D43,_helpTextLookup!A:B,2,FALSE)</f>
        <v xml:space="preserve"> Longlived, intermediate to shade tolerant.</v>
      </c>
    </row>
    <row r="44" spans="1:5" x14ac:dyDescent="0.25">
      <c r="B44" t="s">
        <v>46</v>
      </c>
      <c r="C44" t="s">
        <v>87</v>
      </c>
      <c r="D44" s="3" t="s">
        <v>112</v>
      </c>
      <c r="E44" t="str">
        <f>VLOOKUP(D44,_helpTextLookup!A:B,2,FALSE)</f>
        <v xml:space="preserve"> Legacy Tree.</v>
      </c>
    </row>
    <row r="45" spans="1:5" x14ac:dyDescent="0.25">
      <c r="B45" t="s">
        <v>47</v>
      </c>
      <c r="C45" t="s">
        <v>87</v>
      </c>
      <c r="D45" s="3" t="s">
        <v>113</v>
      </c>
      <c r="E45" t="str">
        <f>VLOOKUP(D45,_helpTextLookup!A:B,2,FALSE)</f>
        <v xml:space="preserve"> Wildlife cavity is present.</v>
      </c>
    </row>
    <row r="46" spans="1:5" x14ac:dyDescent="0.25">
      <c r="B46" t="s">
        <v>48</v>
      </c>
      <c r="C46" t="s">
        <v>87</v>
      </c>
      <c r="D46" s="3" t="s">
        <v>114</v>
      </c>
      <c r="E46" s="3" t="str">
        <f>VLOOKUP(D46,_helpTextLookup!A:B,2,FALSE)</f>
        <v xml:space="preserve"> Uncommon species such as black cherry and ironwood.</v>
      </c>
    </row>
    <row r="47" spans="1:5" x14ac:dyDescent="0.25">
      <c r="B47" t="s">
        <v>49</v>
      </c>
      <c r="C47" t="s">
        <v>87</v>
      </c>
      <c r="D47" s="3" t="s">
        <v>115</v>
      </c>
      <c r="E47" s="3" t="str">
        <f>VLOOKUP(D47,_helpTextLookup!A:B,2,FALSE)</f>
        <v xml:space="preserve"> Mast Tree.</v>
      </c>
    </row>
    <row r="48" spans="1:5" x14ac:dyDescent="0.25">
      <c r="B48" t="s">
        <v>153</v>
      </c>
      <c r="C48" t="s">
        <v>87</v>
      </c>
      <c r="D48" s="3" t="s">
        <v>152</v>
      </c>
      <c r="E48" s="3" t="str">
        <f>VLOOKUP(D48,_helpTextLookup!A:B,2,FALSE)</f>
        <v xml:space="preserve"> Set the heights of all trees to the heights in the 'Predicted Heights' column. Predicted heights are based on DBH/height relationships for hardwood and softwood trees. } ,</v>
      </c>
    </row>
    <row r="49" spans="1:5" x14ac:dyDescent="0.25">
      <c r="A49" t="s">
        <v>51</v>
      </c>
      <c r="B49" t="s">
        <v>52</v>
      </c>
      <c r="C49" t="b">
        <v>1</v>
      </c>
      <c r="D49" s="3" t="s">
        <v>94</v>
      </c>
      <c r="E49" s="3" t="str">
        <f>VLOOKUP(D49,_helpTextLookup!A:B,2,FALSE)</f>
        <v xml:space="preserve"> The deadwood information includes both standing dead trees (i.e., snags) that are tallied in the prism sweep and coarse woody material (CWM) that is measured in a separate transect. The transect should be a straight, 20-m line in a consistent direction (e.g., always north). A dead tree is considered a snag if it is standing at a 45 degrees or greater and is Coarse Woody Material when under 45 degrees.</v>
      </c>
    </row>
    <row r="50" spans="1:5" x14ac:dyDescent="0.25">
      <c r="B50" t="s">
        <v>53</v>
      </c>
      <c r="C50" t="b">
        <v>1</v>
      </c>
      <c r="D50" s="3" t="s">
        <v>103</v>
      </c>
      <c r="E50" s="3" t="str">
        <f>VLOOKUP(D50,_helpTextLookup!A:B,2,FALSE)</f>
        <v xml:space="preserve"> Snag diameter at 1.3 m. Only tally snags that are greater than 20 cm DBH. Snags are tallied in 10-cm diameter classes (e.g., 21-30 cm).</v>
      </c>
    </row>
    <row r="51" spans="1:5" x14ac:dyDescent="0.25">
      <c r="B51" t="s">
        <v>54</v>
      </c>
      <c r="C51" t="b">
        <v>1</v>
      </c>
      <c r="D51" s="3" t="s">
        <v>104</v>
      </c>
      <c r="E51" s="3" t="str">
        <f>VLOOKUP(D51,_helpTextLookup!A:B,2,FALSE)</f>
        <v xml:space="preserve"> Softwood (SW), hardwood (HW), or unknown species.</v>
      </c>
    </row>
    <row r="52" spans="1:5" x14ac:dyDescent="0.25">
      <c r="B52" t="s">
        <v>47</v>
      </c>
      <c r="C52" t="b">
        <v>1</v>
      </c>
      <c r="D52" s="3" t="s">
        <v>102</v>
      </c>
      <c r="E52" s="3" t="str">
        <f>VLOOKUP(D52,_helpTextLookup!A:B,2,FALSE)</f>
        <v xml:space="preserve"> Dead trees (snags) that contain cavities.</v>
      </c>
    </row>
    <row r="53" spans="1:5" x14ac:dyDescent="0.25">
      <c r="A53" t="s">
        <v>55</v>
      </c>
      <c r="B53" t="s">
        <v>56</v>
      </c>
      <c r="C53" t="s">
        <v>87</v>
      </c>
      <c r="D53" s="3" t="s">
        <v>197</v>
      </c>
      <c r="E53" s="3" t="str">
        <f>VLOOKUP(D53,_helpTextLookup!A:B,2,FALSE)</f>
        <v xml:space="preserve"> Length of the transect used to measure coarse woody material.</v>
      </c>
    </row>
    <row r="54" spans="1:5" x14ac:dyDescent="0.25">
      <c r="B54" t="s">
        <v>57</v>
      </c>
      <c r="C54" t="s">
        <v>87</v>
      </c>
      <c r="D54" s="3" t="s">
        <v>196</v>
      </c>
      <c r="E54" s="3" t="str">
        <f>VLOOKUP(D54,_helpTextLookup!A:B,2,FALSE)</f>
        <v xml:space="preserve"> Direction of the transect used to measure coarse woody material.</v>
      </c>
    </row>
    <row r="55" spans="1:5" x14ac:dyDescent="0.25">
      <c r="B55" t="s">
        <v>58</v>
      </c>
      <c r="C55" t="b">
        <v>1</v>
      </c>
      <c r="D55" s="3" t="s">
        <v>92</v>
      </c>
      <c r="E55" s="3" t="str">
        <f>VLOOKUP(D55,_helpTextLookup!A:B,2,FALSE)</f>
        <v xml:space="preserve"> Coarse woody material (CWM) that is measured in a straight transect. A dead tree is considered to be Coarse Woody Material. If it is at less than 45 degrees. Dead trees that are standing at greater than 45 degrees are considered snags.</v>
      </c>
    </row>
    <row r="56" spans="1:5" x14ac:dyDescent="0.25">
      <c r="B56" t="s">
        <v>53</v>
      </c>
      <c r="C56" t="b">
        <v>1</v>
      </c>
      <c r="D56" s="3" t="s">
        <v>91</v>
      </c>
      <c r="E56" s="3" t="str">
        <f>VLOOKUP(D56,_helpTextLookup!A:B,2,FALSE)</f>
        <v xml:space="preserve"> Measure CWM pieces that are greater than 20 cm in diameter where the transect crosses the central axis or pith of the piece. Diameter is measured perpendicular to the pith, not along the transect line. CWM pieces are measured in 20-cm diameter classes (e.g., 21-40 cm).</v>
      </c>
    </row>
    <row r="57" spans="1:5" x14ac:dyDescent="0.25">
      <c r="B57" t="s">
        <v>54</v>
      </c>
      <c r="C57" t="s">
        <v>87</v>
      </c>
      <c r="D57" s="3" t="s">
        <v>117</v>
      </c>
      <c r="E57" s="3" t="str">
        <f>VLOOKUP(D57,_helpTextLookup!A:B,2,FALSE)</f>
        <v xml:space="preserve"> Softwood (SW), hardwood (HW), or unknown species.</v>
      </c>
    </row>
    <row r="58" spans="1:5" x14ac:dyDescent="0.25">
      <c r="B58" t="s">
        <v>47</v>
      </c>
      <c r="C58" t="b">
        <v>1</v>
      </c>
      <c r="D58" s="3" t="s">
        <v>90</v>
      </c>
      <c r="E58" t="str">
        <f>VLOOKUP(D58,_helpTextLookup!A:B,2,FALSE)</f>
        <v xml:space="preserve"> Coarse Woody Material pieces that contain cavities.</v>
      </c>
    </row>
    <row r="59" spans="1:5" x14ac:dyDescent="0.25">
      <c r="A59" t="s">
        <v>200</v>
      </c>
      <c r="B59" t="s">
        <v>118</v>
      </c>
      <c r="C59" t="s">
        <v>87</v>
      </c>
      <c r="D59" s="3" t="s">
        <v>120</v>
      </c>
      <c r="E59" t="str">
        <f>VLOOKUP(D59,_helpTextLookup!A:B,2,FALSE)</f>
        <v xml:space="preserve"> Generate summary at the Stand level. Combines all plots within the stand.</v>
      </c>
    </row>
    <row r="60" spans="1:5" x14ac:dyDescent="0.25">
      <c r="B60" t="s">
        <v>119</v>
      </c>
      <c r="C60" t="s">
        <v>87</v>
      </c>
      <c r="D60" s="3" t="s">
        <v>121</v>
      </c>
      <c r="E60" t="str">
        <f>VLOOKUP(D60,_helpTextLookup!A:B,2,FALSE)</f>
        <v xml:space="preserve"> Generate summary at the Plot level. If trees are updated, please re-generate the Plot summary.</v>
      </c>
    </row>
  </sheetData>
  <conditionalFormatting sqref="C1:C1048576">
    <cfRule type="containsText" dxfId="1" priority="1" operator="containsText" text="TRY">
      <formula>NOT(ISERROR(SEARCH("TRY",C1)))</formula>
    </cfRule>
    <cfRule type="containsText" dxfId="0" priority="2" operator="containsText" text="FALSE">
      <formula>NOT(ISERROR(SEARCH("FALSE",C1)))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57BC3-D160-4191-BE59-1B7FC0172DD5}">
  <dimension ref="A1"/>
  <sheetViews>
    <sheetView topLeftCell="A2" workbookViewId="0">
      <selection activeCell="N13" sqref="N13"/>
    </sheetView>
  </sheetViews>
  <sheetFormatPr defaultRowHeight="15"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53956-1809-4AF9-8F09-4BDA313E248E}">
  <dimension ref="A1"/>
  <sheetViews>
    <sheetView workbookViewId="0">
      <selection activeCell="N65" sqref="N65"/>
    </sheetView>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9F740-0EF3-4164-9F00-D91D7F5C10B8}">
  <dimension ref="A1"/>
  <sheetViews>
    <sheetView workbookViewId="0"/>
  </sheetViews>
  <sheetFormatPr defaultRowHeight="15"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95E73-F634-4CAF-B4BA-4FE914EC9DBC}">
  <dimension ref="A1"/>
  <sheetViews>
    <sheetView workbookViewId="0">
      <selection activeCell="R16" sqref="R16"/>
    </sheetView>
  </sheetViews>
  <sheetFormatPr defaultRowHeight="15" x14ac:dyDescent="0.2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51DD1-55B7-4C9E-B2E9-334D32C10AC6}">
  <dimension ref="A1"/>
  <sheetViews>
    <sheetView workbookViewId="0"/>
  </sheetViews>
  <sheetFormatPr defaultRowHeight="15" x14ac:dyDescent="0.2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804F2-B880-47E7-BAE1-54C3CC442FF4}">
  <dimension ref="A1"/>
  <sheetViews>
    <sheetView workbookViewId="0"/>
  </sheetViews>
  <sheetFormatPr defaultRowHeight="15" x14ac:dyDescent="0.2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23C78-D9A0-4284-86EA-427FA0682A50}">
  <dimension ref="A1:B76"/>
  <sheetViews>
    <sheetView topLeftCell="A73" zoomScale="70" zoomScaleNormal="70" workbookViewId="0">
      <selection activeCell="A76" sqref="A76"/>
    </sheetView>
  </sheetViews>
  <sheetFormatPr defaultRowHeight="15" x14ac:dyDescent="0.25"/>
  <cols>
    <col min="1" max="1" width="66.28515625" customWidth="1"/>
    <col min="2" max="2" width="255.7109375" bestFit="1" customWidth="1"/>
  </cols>
  <sheetData>
    <row r="1" spans="1:2" x14ac:dyDescent="0.25">
      <c r="A1" t="s">
        <v>84</v>
      </c>
      <c r="B1" t="s">
        <v>154</v>
      </c>
    </row>
    <row r="2" spans="1:2" x14ac:dyDescent="0.25">
      <c r="A2" t="s">
        <v>86</v>
      </c>
      <c r="B2" t="s">
        <v>123</v>
      </c>
    </row>
    <row r="3" spans="1:2" x14ac:dyDescent="0.25">
      <c r="A3" t="s">
        <v>88</v>
      </c>
      <c r="B3" t="s">
        <v>124</v>
      </c>
    </row>
    <row r="4" spans="1:2" x14ac:dyDescent="0.25">
      <c r="A4" t="s">
        <v>85</v>
      </c>
      <c r="B4" t="s">
        <v>125</v>
      </c>
    </row>
    <row r="5" spans="1:2" x14ac:dyDescent="0.25">
      <c r="A5" t="s">
        <v>44</v>
      </c>
      <c r="B5" t="s">
        <v>155</v>
      </c>
    </row>
    <row r="6" spans="1:2" x14ac:dyDescent="0.25">
      <c r="A6" t="s">
        <v>26</v>
      </c>
      <c r="B6" t="s">
        <v>156</v>
      </c>
    </row>
    <row r="7" spans="1:2" x14ac:dyDescent="0.25">
      <c r="A7" t="s">
        <v>47</v>
      </c>
      <c r="B7" t="s">
        <v>157</v>
      </c>
    </row>
    <row r="8" spans="1:2" x14ac:dyDescent="0.25">
      <c r="A8" t="s">
        <v>116</v>
      </c>
      <c r="B8" t="s">
        <v>158</v>
      </c>
    </row>
    <row r="9" spans="1:2" x14ac:dyDescent="0.25">
      <c r="A9" t="s">
        <v>196</v>
      </c>
      <c r="B9" t="s">
        <v>126</v>
      </c>
    </row>
    <row r="10" spans="1:2" x14ac:dyDescent="0.25">
      <c r="A10" t="s">
        <v>197</v>
      </c>
      <c r="B10" t="s">
        <v>127</v>
      </c>
    </row>
    <row r="11" spans="1:2" x14ac:dyDescent="0.25">
      <c r="A11" t="s">
        <v>62</v>
      </c>
      <c r="B11" t="s">
        <v>159</v>
      </c>
    </row>
    <row r="12" spans="1:2" x14ac:dyDescent="0.25">
      <c r="A12" t="s">
        <v>90</v>
      </c>
      <c r="B12" t="s">
        <v>128</v>
      </c>
    </row>
    <row r="13" spans="1:2" x14ac:dyDescent="0.25">
      <c r="A13" t="s">
        <v>91</v>
      </c>
      <c r="B13" t="s">
        <v>160</v>
      </c>
    </row>
    <row r="14" spans="1:2" x14ac:dyDescent="0.25">
      <c r="A14" t="s">
        <v>92</v>
      </c>
      <c r="B14" t="s">
        <v>129</v>
      </c>
    </row>
    <row r="15" spans="1:2" x14ac:dyDescent="0.25">
      <c r="A15" t="s">
        <v>117</v>
      </c>
      <c r="B15" t="s">
        <v>158</v>
      </c>
    </row>
    <row r="16" spans="1:2" x14ac:dyDescent="0.25">
      <c r="A16" t="s">
        <v>93</v>
      </c>
      <c r="B16" t="s">
        <v>161</v>
      </c>
    </row>
    <row r="17" spans="1:2" x14ac:dyDescent="0.25">
      <c r="A17" t="s">
        <v>94</v>
      </c>
      <c r="B17" t="s">
        <v>162</v>
      </c>
    </row>
    <row r="18" spans="1:2" x14ac:dyDescent="0.25">
      <c r="A18" t="s">
        <v>48</v>
      </c>
      <c r="B18" t="s">
        <v>163</v>
      </c>
    </row>
    <row r="19" spans="1:2" x14ac:dyDescent="0.25">
      <c r="A19" t="s">
        <v>14</v>
      </c>
      <c r="B19" t="s">
        <v>130</v>
      </c>
    </row>
    <row r="20" spans="1:2" x14ac:dyDescent="0.25">
      <c r="A20" t="s">
        <v>19</v>
      </c>
      <c r="B20" t="s">
        <v>164</v>
      </c>
    </row>
    <row r="21" spans="1:2" x14ac:dyDescent="0.25">
      <c r="A21" t="s">
        <v>71</v>
      </c>
      <c r="B21" t="s">
        <v>131</v>
      </c>
    </row>
    <row r="22" spans="1:2" x14ac:dyDescent="0.25">
      <c r="A22" t="s">
        <v>20</v>
      </c>
      <c r="B22" t="s">
        <v>165</v>
      </c>
    </row>
    <row r="23" spans="1:2" x14ac:dyDescent="0.25">
      <c r="A23" t="s">
        <v>72</v>
      </c>
      <c r="B23" t="s">
        <v>166</v>
      </c>
    </row>
    <row r="24" spans="1:2" x14ac:dyDescent="0.25">
      <c r="A24" t="s">
        <v>73</v>
      </c>
      <c r="B24" t="s">
        <v>167</v>
      </c>
    </row>
    <row r="25" spans="1:2" x14ac:dyDescent="0.25">
      <c r="A25" t="s">
        <v>95</v>
      </c>
      <c r="B25" t="s">
        <v>168</v>
      </c>
    </row>
    <row r="26" spans="1:2" x14ac:dyDescent="0.25">
      <c r="A26" t="s">
        <v>96</v>
      </c>
      <c r="B26" t="s">
        <v>169</v>
      </c>
    </row>
    <row r="27" spans="1:2" x14ac:dyDescent="0.25">
      <c r="A27" t="s">
        <v>75</v>
      </c>
      <c r="B27" t="s">
        <v>132</v>
      </c>
    </row>
    <row r="28" spans="1:2" x14ac:dyDescent="0.25">
      <c r="A28" t="s">
        <v>97</v>
      </c>
      <c r="B28" t="s">
        <v>170</v>
      </c>
    </row>
    <row r="29" spans="1:2" x14ac:dyDescent="0.25">
      <c r="A29" t="s">
        <v>45</v>
      </c>
      <c r="B29" t="s">
        <v>133</v>
      </c>
    </row>
    <row r="30" spans="1:2" x14ac:dyDescent="0.25">
      <c r="A30" t="s">
        <v>98</v>
      </c>
      <c r="B30" t="s">
        <v>134</v>
      </c>
    </row>
    <row r="31" spans="1:2" x14ac:dyDescent="0.25">
      <c r="A31" t="s">
        <v>9</v>
      </c>
      <c r="B31" t="s">
        <v>171</v>
      </c>
    </row>
    <row r="32" spans="1:2" x14ac:dyDescent="0.25">
      <c r="A32" t="s">
        <v>46</v>
      </c>
      <c r="B32" t="s">
        <v>135</v>
      </c>
    </row>
    <row r="33" spans="1:2" x14ac:dyDescent="0.25">
      <c r="A33" t="s">
        <v>49</v>
      </c>
      <c r="B33" t="s">
        <v>172</v>
      </c>
    </row>
    <row r="34" spans="1:2" x14ac:dyDescent="0.25">
      <c r="A34" t="s">
        <v>15</v>
      </c>
      <c r="B34" t="s">
        <v>136</v>
      </c>
    </row>
    <row r="35" spans="1:2" x14ac:dyDescent="0.25">
      <c r="A35" t="s">
        <v>106</v>
      </c>
      <c r="B35" t="s">
        <v>173</v>
      </c>
    </row>
    <row r="36" spans="1:2" x14ac:dyDescent="0.25">
      <c r="A36" t="s">
        <v>108</v>
      </c>
      <c r="B36" t="s">
        <v>174</v>
      </c>
    </row>
    <row r="37" spans="1:2" x14ac:dyDescent="0.25">
      <c r="A37" t="s">
        <v>107</v>
      </c>
      <c r="B37" t="s">
        <v>175</v>
      </c>
    </row>
    <row r="38" spans="1:2" x14ac:dyDescent="0.25">
      <c r="A38" t="s">
        <v>110</v>
      </c>
      <c r="B38" t="s">
        <v>176</v>
      </c>
    </row>
    <row r="39" spans="1:2" x14ac:dyDescent="0.25">
      <c r="A39" t="s">
        <v>111</v>
      </c>
      <c r="B39" t="s">
        <v>177</v>
      </c>
    </row>
    <row r="40" spans="1:2" x14ac:dyDescent="0.25">
      <c r="A40" t="s">
        <v>109</v>
      </c>
      <c r="B40" t="s">
        <v>178</v>
      </c>
    </row>
    <row r="41" spans="1:2" x14ac:dyDescent="0.25">
      <c r="A41" t="s">
        <v>112</v>
      </c>
      <c r="B41" t="s">
        <v>179</v>
      </c>
    </row>
    <row r="42" spans="1:2" x14ac:dyDescent="0.25">
      <c r="A42" t="s">
        <v>115</v>
      </c>
      <c r="B42" t="s">
        <v>180</v>
      </c>
    </row>
    <row r="43" spans="1:2" x14ac:dyDescent="0.25">
      <c r="A43" t="s">
        <v>113</v>
      </c>
      <c r="B43" t="s">
        <v>181</v>
      </c>
    </row>
    <row r="44" spans="1:2" x14ac:dyDescent="0.25">
      <c r="A44" t="s">
        <v>114</v>
      </c>
      <c r="B44" t="s">
        <v>182</v>
      </c>
    </row>
    <row r="45" spans="1:2" x14ac:dyDescent="0.25">
      <c r="A45" t="s">
        <v>99</v>
      </c>
      <c r="B45" t="s">
        <v>124</v>
      </c>
    </row>
    <row r="46" spans="1:2" x14ac:dyDescent="0.25">
      <c r="A46" t="s">
        <v>100</v>
      </c>
      <c r="B46" t="s">
        <v>183</v>
      </c>
    </row>
    <row r="47" spans="1:2" x14ac:dyDescent="0.25">
      <c r="A47" t="s">
        <v>80</v>
      </c>
      <c r="B47" t="s">
        <v>184</v>
      </c>
    </row>
    <row r="48" spans="1:2" x14ac:dyDescent="0.25">
      <c r="A48" t="s">
        <v>8</v>
      </c>
      <c r="B48" t="s">
        <v>185</v>
      </c>
    </row>
    <row r="49" spans="1:2" x14ac:dyDescent="0.25">
      <c r="A49" t="s">
        <v>63</v>
      </c>
      <c r="B49" t="s">
        <v>137</v>
      </c>
    </row>
    <row r="50" spans="1:2" x14ac:dyDescent="0.25">
      <c r="A50" t="s">
        <v>70</v>
      </c>
      <c r="B50" t="s">
        <v>138</v>
      </c>
    </row>
    <row r="51" spans="1:2" x14ac:dyDescent="0.25">
      <c r="A51" t="s">
        <v>66</v>
      </c>
      <c r="B51" t="s">
        <v>139</v>
      </c>
    </row>
    <row r="52" spans="1:2" x14ac:dyDescent="0.25">
      <c r="A52" t="s">
        <v>67</v>
      </c>
      <c r="B52" t="s">
        <v>140</v>
      </c>
    </row>
    <row r="53" spans="1:2" x14ac:dyDescent="0.25">
      <c r="A53" t="s">
        <v>68</v>
      </c>
      <c r="B53" t="s">
        <v>141</v>
      </c>
    </row>
    <row r="54" spans="1:2" x14ac:dyDescent="0.25">
      <c r="A54" t="s">
        <v>65</v>
      </c>
      <c r="B54" t="s">
        <v>142</v>
      </c>
    </row>
    <row r="55" spans="1:2" x14ac:dyDescent="0.25">
      <c r="A55" t="s">
        <v>101</v>
      </c>
      <c r="B55" t="s">
        <v>143</v>
      </c>
    </row>
    <row r="56" spans="1:2" x14ac:dyDescent="0.25">
      <c r="A56" t="s">
        <v>102</v>
      </c>
      <c r="B56" t="s">
        <v>144</v>
      </c>
    </row>
    <row r="57" spans="1:2" x14ac:dyDescent="0.25">
      <c r="A57" t="s">
        <v>103</v>
      </c>
      <c r="B57" t="s">
        <v>186</v>
      </c>
    </row>
    <row r="58" spans="1:2" x14ac:dyDescent="0.25">
      <c r="A58" t="s">
        <v>104</v>
      </c>
      <c r="B58" t="s">
        <v>158</v>
      </c>
    </row>
    <row r="59" spans="1:2" x14ac:dyDescent="0.25">
      <c r="A59" t="s">
        <v>43</v>
      </c>
      <c r="B59" t="s">
        <v>187</v>
      </c>
    </row>
    <row r="60" spans="1:2" x14ac:dyDescent="0.25">
      <c r="A60" t="s">
        <v>64</v>
      </c>
      <c r="B60" t="s">
        <v>188</v>
      </c>
    </row>
    <row r="61" spans="1:2" x14ac:dyDescent="0.25">
      <c r="A61" t="s">
        <v>61</v>
      </c>
      <c r="B61" t="s">
        <v>145</v>
      </c>
    </row>
    <row r="62" spans="1:2" x14ac:dyDescent="0.25">
      <c r="A62" t="s">
        <v>59</v>
      </c>
      <c r="B62" t="s">
        <v>146</v>
      </c>
    </row>
    <row r="63" spans="1:2" x14ac:dyDescent="0.25">
      <c r="A63" t="s">
        <v>76</v>
      </c>
      <c r="B63" t="s">
        <v>147</v>
      </c>
    </row>
    <row r="64" spans="1:2" x14ac:dyDescent="0.25">
      <c r="A64" t="s">
        <v>79</v>
      </c>
      <c r="B64" t="s">
        <v>189</v>
      </c>
    </row>
    <row r="65" spans="1:2" x14ac:dyDescent="0.25">
      <c r="A65" t="s">
        <v>77</v>
      </c>
      <c r="B65" t="s">
        <v>190</v>
      </c>
    </row>
    <row r="66" spans="1:2" x14ac:dyDescent="0.25">
      <c r="A66" t="s">
        <v>78</v>
      </c>
      <c r="B66" t="s">
        <v>191</v>
      </c>
    </row>
    <row r="67" spans="1:2" x14ac:dyDescent="0.25">
      <c r="A67" t="s">
        <v>121</v>
      </c>
      <c r="B67" t="s">
        <v>192</v>
      </c>
    </row>
    <row r="68" spans="1:2" x14ac:dyDescent="0.25">
      <c r="A68" t="s">
        <v>120</v>
      </c>
      <c r="B68" t="s">
        <v>148</v>
      </c>
    </row>
    <row r="69" spans="1:2" x14ac:dyDescent="0.25">
      <c r="A69" t="s">
        <v>74</v>
      </c>
      <c r="B69" t="s">
        <v>149</v>
      </c>
    </row>
    <row r="70" spans="1:2" x14ac:dyDescent="0.25">
      <c r="A70" t="s">
        <v>69</v>
      </c>
      <c r="B70" t="s">
        <v>150</v>
      </c>
    </row>
    <row r="71" spans="1:2" x14ac:dyDescent="0.25">
      <c r="A71" t="s">
        <v>105</v>
      </c>
      <c r="B71" t="s">
        <v>151</v>
      </c>
    </row>
    <row r="72" spans="1:2" x14ac:dyDescent="0.25">
      <c r="A72" t="s">
        <v>83</v>
      </c>
      <c r="B72" t="s">
        <v>122</v>
      </c>
    </row>
    <row r="73" spans="1:2" x14ac:dyDescent="0.25">
      <c r="A73" t="s">
        <v>82</v>
      </c>
      <c r="B73" t="s">
        <v>193</v>
      </c>
    </row>
    <row r="74" spans="1:2" x14ac:dyDescent="0.25">
      <c r="A74" t="s">
        <v>81</v>
      </c>
      <c r="B74" t="s">
        <v>194</v>
      </c>
    </row>
    <row r="75" spans="1:2" x14ac:dyDescent="0.25">
      <c r="A75" t="s">
        <v>152</v>
      </c>
      <c r="B75" t="s">
        <v>195</v>
      </c>
    </row>
    <row r="76" spans="1:2" x14ac:dyDescent="0.25">
      <c r="A76" t="s">
        <v>90</v>
      </c>
      <c r="B76" t="s">
        <v>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Main Table</vt:lpstr>
      <vt:lpstr>Stand</vt:lpstr>
      <vt:lpstr>Plot</vt:lpstr>
      <vt:lpstr>Live</vt:lpstr>
      <vt:lpstr>Dead</vt:lpstr>
      <vt:lpstr>CWM</vt:lpstr>
      <vt:lpstr>Summary</vt:lpstr>
      <vt:lpstr>_helpTextLookup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Bishop, Peter</dc:creator>
  <cp:lastModifiedBy>Bishop, Peter</cp:lastModifiedBy>
  <dcterms:created xsi:type="dcterms:W3CDTF">2025-07-07T12:21:05Z</dcterms:created>
  <dcterms:modified xsi:type="dcterms:W3CDTF">2025-07-08T14:52:28Z</dcterms:modified>
</cp:coreProperties>
</file>